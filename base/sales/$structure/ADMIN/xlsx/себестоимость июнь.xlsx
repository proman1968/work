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nistratova_a\Desktop\"/>
    </mc:Choice>
  </mc:AlternateContent>
  <xr:revisionPtr revIDLastSave="0" documentId="13_ncr:1_{6E0AEA3E-FC87-45A6-92AC-01F4B24508DA}" xr6:coauthVersionLast="45" xr6:coauthVersionMax="45" xr10:uidLastSave="{00000000-0000-0000-0000-000000000000}"/>
  <bookViews>
    <workbookView xWindow="3240" yWindow="2304" windowWidth="16584" windowHeight="942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9" i="1" l="1"/>
  <c r="H29" i="1" s="1"/>
  <c r="E27" i="1"/>
  <c r="G26" i="1" s="1"/>
  <c r="H26" i="1"/>
  <c r="H25" i="1"/>
  <c r="G25" i="1"/>
  <c r="H24" i="1"/>
  <c r="H23" i="1"/>
  <c r="G23" i="1"/>
  <c r="H22" i="1"/>
  <c r="H21" i="1"/>
  <c r="G21" i="1"/>
  <c r="H20" i="1"/>
  <c r="H19" i="1"/>
  <c r="G19" i="1"/>
  <c r="H18" i="1"/>
  <c r="H17" i="1"/>
  <c r="G17" i="1"/>
  <c r="H16" i="1"/>
  <c r="H15" i="1"/>
  <c r="G15" i="1"/>
  <c r="H14" i="1"/>
  <c r="H13" i="1"/>
  <c r="G13" i="1"/>
  <c r="H12" i="1"/>
  <c r="H11" i="1"/>
  <c r="G11" i="1"/>
  <c r="H10" i="1"/>
  <c r="H9" i="1"/>
  <c r="G9" i="1"/>
  <c r="H8" i="1"/>
  <c r="H7" i="1"/>
  <c r="G7" i="1"/>
  <c r="H6" i="1"/>
  <c r="H5" i="1"/>
  <c r="G5" i="1"/>
  <c r="H4" i="1"/>
  <c r="E34" i="1" l="1"/>
  <c r="H27" i="1"/>
  <c r="G4" i="1"/>
  <c r="G6" i="1"/>
  <c r="G8" i="1"/>
  <c r="G10" i="1"/>
  <c r="G12" i="1"/>
  <c r="G14" i="1"/>
  <c r="G16" i="1"/>
  <c r="G18" i="1"/>
  <c r="G20" i="1"/>
  <c r="G22" i="1"/>
  <c r="G24" i="1"/>
  <c r="E36" i="1" l="1"/>
  <c r="L34" i="1"/>
  <c r="L36" i="1" s="1"/>
  <c r="L37" i="1" l="1"/>
  <c r="L38" i="1" s="1"/>
  <c r="E37" i="1"/>
  <c r="E38" i="1" s="1"/>
</calcChain>
</file>

<file path=xl/sharedStrings.xml><?xml version="1.0" encoding="utf-8"?>
<sst xmlns="http://schemas.openxmlformats.org/spreadsheetml/2006/main" count="45" uniqueCount="38">
  <si>
    <t xml:space="preserve">Себестоимость пива за июнь 2026 год </t>
  </si>
  <si>
    <t>Наименование затрат</t>
  </si>
  <si>
    <t>сумма (руб.)</t>
  </si>
  <si>
    <t>%</t>
  </si>
  <si>
    <t>затраты на 1л, руб</t>
  </si>
  <si>
    <t>Ячмень</t>
  </si>
  <si>
    <t>Хмель</t>
  </si>
  <si>
    <t>Пищевые добавки</t>
  </si>
  <si>
    <t>Молочная кислота</t>
  </si>
  <si>
    <t>Углекислота</t>
  </si>
  <si>
    <t>Стабилизаторы,ферменты,фильтр. эл.</t>
  </si>
  <si>
    <t>Преформа, пробка</t>
  </si>
  <si>
    <t>Тара</t>
  </si>
  <si>
    <t>Кроненпробка, крышка на банку</t>
  </si>
  <si>
    <t>Этикеточная продукция</t>
  </si>
  <si>
    <t>Клей</t>
  </si>
  <si>
    <t>Упаковочный материал</t>
  </si>
  <si>
    <t>Дез. и моющие средства</t>
  </si>
  <si>
    <t>Потери</t>
  </si>
  <si>
    <t>Маркировка пива</t>
  </si>
  <si>
    <t xml:space="preserve">Зарплата + налоги от з/платы </t>
  </si>
  <si>
    <t>Теплоэнергоносители</t>
  </si>
  <si>
    <t>Транспортный цех</t>
  </si>
  <si>
    <t>Товарный знак</t>
  </si>
  <si>
    <t>Материалы, спецодежда</t>
  </si>
  <si>
    <t>Общехозяйственные затраты</t>
  </si>
  <si>
    <t>Амортизация</t>
  </si>
  <si>
    <t>Налоги</t>
  </si>
  <si>
    <t>ИТОГО</t>
  </si>
  <si>
    <t>Акциз (33,00 руб. на литр)</t>
  </si>
  <si>
    <t>Проценты по кредитам</t>
  </si>
  <si>
    <t>Налог на имущество</t>
  </si>
  <si>
    <t>Ежемесячные премии</t>
  </si>
  <si>
    <t>ИТОГО ЗАТРАТ</t>
  </si>
  <si>
    <t>Выпуск пива (литр)</t>
  </si>
  <si>
    <t>Себестоимость на литр</t>
  </si>
  <si>
    <t>НДС 22%</t>
  </si>
  <si>
    <t>ИТОГО ст-ть с акцизом и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</si>
</sst>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 Cyr"/>
      <family val="2"/>
      <charset val="204"/>
    </font>
    <font>
      <sz val="10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4" fontId="2" fillId="0" borderId="12" xfId="0" applyNumberFormat="1" applyFont="1" applyBorder="1" applyAlignment="1">
      <alignment horizontal="right"/>
    </xf>
    <xf numFmtId="4" fontId="2" fillId="0" borderId="13" xfId="0" applyNumberFormat="1" applyFont="1" applyBorder="1" applyAlignment="1">
      <alignment horizontal="right"/>
    </xf>
    <xf numFmtId="2" fontId="0" fillId="0" borderId="14" xfId="0" applyNumberFormat="1" applyBorder="1"/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3" xfId="0" applyBorder="1" applyAlignment="1">
      <alignment horizontal="left"/>
    </xf>
    <xf numFmtId="4" fontId="2" fillId="0" borderId="0" xfId="0" applyNumberFormat="1" applyFont="1" applyAlignment="1">
      <alignment horizontal="righ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4" fontId="2" fillId="0" borderId="18" xfId="0" applyNumberFormat="1" applyFont="1" applyBorder="1" applyAlignment="1">
      <alignment horizontal="right"/>
    </xf>
    <xf numFmtId="4" fontId="2" fillId="0" borderId="19" xfId="0" applyNumberFormat="1" applyFont="1" applyBorder="1" applyAlignment="1">
      <alignment horizontal="right"/>
    </xf>
    <xf numFmtId="4" fontId="2" fillId="0" borderId="20" xfId="0" applyNumberFormat="1" applyFont="1" applyBorder="1" applyAlignment="1">
      <alignment horizontal="right"/>
    </xf>
    <xf numFmtId="2" fontId="0" fillId="0" borderId="0" xfId="0" applyNumberFormat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" fontId="2" fillId="0" borderId="16" xfId="0" applyNumberFormat="1" applyFont="1" applyBorder="1" applyAlignment="1">
      <alignment horizontal="right"/>
    </xf>
    <xf numFmtId="4" fontId="2" fillId="0" borderId="17" xfId="0" applyNumberFormat="1" applyFont="1" applyBorder="1" applyAlignment="1">
      <alignment horizontal="right"/>
    </xf>
    <xf numFmtId="4" fontId="2" fillId="0" borderId="15" xfId="0" applyNumberFormat="1" applyFont="1" applyBorder="1" applyAlignment="1">
      <alignment horizontal="right"/>
    </xf>
    <xf numFmtId="4" fontId="2" fillId="0" borderId="15" xfId="0" applyNumberFormat="1" applyFont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1" xfId="0" applyBorder="1"/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2" xfId="0" applyBorder="1"/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4" fontId="1" fillId="0" borderId="23" xfId="0" applyNumberFormat="1" applyFont="1" applyBorder="1" applyAlignment="1">
      <alignment horizontal="right"/>
    </xf>
    <xf numFmtId="4" fontId="1" fillId="0" borderId="25" xfId="0" applyNumberFormat="1" applyFont="1" applyBorder="1" applyAlignment="1">
      <alignment horizontal="right"/>
    </xf>
    <xf numFmtId="0" fontId="0" fillId="0" borderId="26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topLeftCell="A7" workbookViewId="0">
      <selection sqref="A1:XFD1048576"/>
    </sheetView>
  </sheetViews>
  <sheetFormatPr defaultRowHeight="14.4" x14ac:dyDescent="0.3"/>
  <cols>
    <col min="1" max="1" width="0.44140625" customWidth="1"/>
    <col min="4" max="4" width="15.88671875" customWidth="1"/>
    <col min="6" max="6" width="7.6640625" customWidth="1"/>
    <col min="8" max="8" width="13" customWidth="1"/>
    <col min="11" max="11" width="10" customWidth="1"/>
    <col min="12" max="12" width="11.6640625" bestFit="1" customWidth="1"/>
    <col min="13" max="13" width="4.5546875" customWidth="1"/>
    <col min="14" max="14" width="12.109375" customWidth="1"/>
    <col min="16" max="16" width="16.44140625" customWidth="1"/>
    <col min="17" max="17" width="13.88671875" customWidth="1"/>
  </cols>
  <sheetData>
    <row r="1" spans="1:17" ht="15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3"/>
      <c r="Q1" s="3"/>
    </row>
    <row r="2" spans="1:17" ht="15" customHeight="1" x14ac:dyDescent="0.3">
      <c r="B2" s="4" t="s">
        <v>1</v>
      </c>
      <c r="C2" s="5"/>
      <c r="D2" s="6"/>
      <c r="E2" s="4" t="s">
        <v>2</v>
      </c>
      <c r="F2" s="6"/>
      <c r="G2" s="7" t="s">
        <v>3</v>
      </c>
      <c r="H2" s="8" t="s">
        <v>4</v>
      </c>
      <c r="I2" s="4" t="s">
        <v>1</v>
      </c>
      <c r="J2" s="5"/>
      <c r="K2" s="6"/>
      <c r="L2" s="9" t="s">
        <v>2</v>
      </c>
      <c r="M2" s="10"/>
      <c r="P2" s="3"/>
      <c r="Q2" s="3"/>
    </row>
    <row r="3" spans="1:17" ht="15" thickBot="1" x14ac:dyDescent="0.35">
      <c r="B3" s="11"/>
      <c r="C3" s="12"/>
      <c r="D3" s="13"/>
      <c r="E3" s="11"/>
      <c r="F3" s="13"/>
      <c r="G3" s="14"/>
      <c r="H3" s="15"/>
      <c r="I3" s="11"/>
      <c r="J3" s="12"/>
      <c r="K3" s="13"/>
      <c r="L3" s="16"/>
      <c r="M3" s="17"/>
      <c r="P3" s="3"/>
      <c r="Q3" s="3"/>
    </row>
    <row r="4" spans="1:17" ht="15" thickBot="1" x14ac:dyDescent="0.35">
      <c r="B4" s="18" t="s">
        <v>5</v>
      </c>
      <c r="C4" s="19"/>
      <c r="D4" s="20"/>
      <c r="E4" s="21">
        <v>12201277.57</v>
      </c>
      <c r="F4" s="22"/>
      <c r="G4" s="23">
        <f>ROUND(E4/E27*100,2)</f>
        <v>6.4</v>
      </c>
      <c r="H4" s="23">
        <f>E4/E35</f>
        <v>2.8746297546498414</v>
      </c>
      <c r="I4" s="24"/>
      <c r="J4" s="25"/>
      <c r="K4" s="26"/>
      <c r="L4" s="27"/>
      <c r="M4" s="22"/>
      <c r="P4" s="3"/>
      <c r="Q4" s="3"/>
    </row>
    <row r="5" spans="1:17" ht="15" thickBot="1" x14ac:dyDescent="0.35">
      <c r="B5" s="28" t="s">
        <v>6</v>
      </c>
      <c r="C5" s="29"/>
      <c r="D5" s="30"/>
      <c r="E5" s="31">
        <v>1867189.99</v>
      </c>
      <c r="F5" s="32"/>
      <c r="G5" s="23">
        <f>ROUND(E5/E27*100,2)</f>
        <v>0.98</v>
      </c>
      <c r="H5" s="23">
        <f>E5/E35</f>
        <v>0.43991130207837242</v>
      </c>
      <c r="I5" s="28"/>
      <c r="J5" s="29"/>
      <c r="K5" s="30"/>
      <c r="L5" s="33"/>
      <c r="M5" s="32"/>
      <c r="P5" s="3"/>
      <c r="Q5" s="3"/>
    </row>
    <row r="6" spans="1:17" ht="15" thickBot="1" x14ac:dyDescent="0.35">
      <c r="B6" s="28" t="s">
        <v>7</v>
      </c>
      <c r="C6" s="29"/>
      <c r="D6" s="30"/>
      <c r="E6" s="31">
        <v>210636.49</v>
      </c>
      <c r="F6" s="32"/>
      <c r="G6" s="23">
        <f>ROUND(E6/E27*100,2)</f>
        <v>0.11</v>
      </c>
      <c r="H6" s="23">
        <f>E6/E35</f>
        <v>4.9626108257530915E-2</v>
      </c>
      <c r="I6" s="28"/>
      <c r="J6" s="29"/>
      <c r="K6" s="30"/>
      <c r="L6" s="33"/>
      <c r="M6" s="32"/>
      <c r="P6" s="3"/>
      <c r="Q6" s="3"/>
    </row>
    <row r="7" spans="1:17" ht="15" thickBot="1" x14ac:dyDescent="0.35">
      <c r="B7" s="28" t="s">
        <v>8</v>
      </c>
      <c r="C7" s="29"/>
      <c r="D7" s="30"/>
      <c r="E7" s="31">
        <v>368856.74</v>
      </c>
      <c r="F7" s="32"/>
      <c r="G7" s="23">
        <f>ROUND(E7/E27*100,2)</f>
        <v>0.19</v>
      </c>
      <c r="H7" s="23">
        <f>E7/E35</f>
        <v>8.6902912742041677E-2</v>
      </c>
      <c r="I7" s="28"/>
      <c r="J7" s="29"/>
      <c r="K7" s="30"/>
      <c r="L7" s="33"/>
      <c r="M7" s="32"/>
      <c r="P7" s="3"/>
      <c r="Q7" s="3"/>
    </row>
    <row r="8" spans="1:17" ht="15" thickBot="1" x14ac:dyDescent="0.35">
      <c r="B8" s="28" t="s">
        <v>9</v>
      </c>
      <c r="C8" s="29"/>
      <c r="D8" s="30"/>
      <c r="E8" s="31">
        <v>293682.27</v>
      </c>
      <c r="F8" s="32"/>
      <c r="G8" s="23">
        <f>ROUND(E8/E27*100,2)</f>
        <v>0.15</v>
      </c>
      <c r="H8" s="23">
        <f>E8/E35</f>
        <v>6.9191753643148085E-2</v>
      </c>
      <c r="I8" s="28"/>
      <c r="J8" s="29"/>
      <c r="K8" s="30"/>
      <c r="L8" s="33"/>
      <c r="M8" s="32"/>
      <c r="P8" s="3"/>
    </row>
    <row r="9" spans="1:17" ht="15" thickBot="1" x14ac:dyDescent="0.35">
      <c r="B9" s="28" t="s">
        <v>10</v>
      </c>
      <c r="C9" s="29"/>
      <c r="D9" s="30"/>
      <c r="E9" s="31">
        <v>1648012.98</v>
      </c>
      <c r="F9" s="32"/>
      <c r="G9" s="23">
        <f>ROUND(E9/E27*100,2)</f>
        <v>0.86</v>
      </c>
      <c r="H9" s="23">
        <f>E9/E35</f>
        <v>0.38827304117769973</v>
      </c>
      <c r="I9" s="28"/>
      <c r="J9" s="29"/>
      <c r="K9" s="30"/>
      <c r="L9" s="33"/>
      <c r="M9" s="32"/>
      <c r="P9" s="3"/>
      <c r="Q9" s="3"/>
    </row>
    <row r="10" spans="1:17" ht="15" thickBot="1" x14ac:dyDescent="0.35">
      <c r="B10" s="28" t="s">
        <v>11</v>
      </c>
      <c r="C10" s="29"/>
      <c r="D10" s="30"/>
      <c r="E10" s="31">
        <v>8197712.3200000003</v>
      </c>
      <c r="F10" s="32"/>
      <c r="G10" s="23">
        <f>ROUND(E10/E27*100,2)</f>
        <v>4.3</v>
      </c>
      <c r="H10" s="23">
        <f>E10/E35</f>
        <v>1.9313869076360652</v>
      </c>
      <c r="I10" s="28"/>
      <c r="J10" s="29"/>
      <c r="K10" s="30"/>
      <c r="L10" s="33"/>
      <c r="M10" s="32"/>
      <c r="P10" s="3"/>
    </row>
    <row r="11" spans="1:17" ht="15" thickBot="1" x14ac:dyDescent="0.35">
      <c r="B11" s="28" t="s">
        <v>12</v>
      </c>
      <c r="C11" s="29"/>
      <c r="D11" s="30"/>
      <c r="E11" s="31">
        <v>64455433.770000003</v>
      </c>
      <c r="F11" s="32"/>
      <c r="G11" s="23">
        <f>ROUND(E11/E27*100,2)</f>
        <v>33.83</v>
      </c>
      <c r="H11" s="23">
        <f>E11/E35</f>
        <v>15.185746468031891</v>
      </c>
      <c r="I11" s="28"/>
      <c r="J11" s="29"/>
      <c r="K11" s="30"/>
      <c r="L11" s="33"/>
      <c r="M11" s="32"/>
      <c r="P11" s="3"/>
    </row>
    <row r="12" spans="1:17" ht="15" thickBot="1" x14ac:dyDescent="0.35">
      <c r="B12" s="28" t="s">
        <v>13</v>
      </c>
      <c r="C12" s="29"/>
      <c r="D12" s="30"/>
      <c r="E12" s="31">
        <v>4135958.83</v>
      </c>
      <c r="F12" s="32"/>
      <c r="G12" s="23">
        <f>ROUND(E12/E27*100,2)</f>
        <v>2.17</v>
      </c>
      <c r="H12" s="23">
        <f>E12/E35</f>
        <v>0.97443486950561575</v>
      </c>
      <c r="I12" s="28"/>
      <c r="J12" s="29"/>
      <c r="K12" s="30"/>
      <c r="L12" s="33"/>
      <c r="M12" s="32"/>
      <c r="P12" s="3"/>
    </row>
    <row r="13" spans="1:17" ht="15" thickBot="1" x14ac:dyDescent="0.35">
      <c r="B13" s="28" t="s">
        <v>14</v>
      </c>
      <c r="C13" s="29"/>
      <c r="D13" s="30"/>
      <c r="E13" s="31">
        <v>7265269.7000000002</v>
      </c>
      <c r="F13" s="32"/>
      <c r="G13" s="23">
        <f>ROUND(E13/E27*100,2)</f>
        <v>3.81</v>
      </c>
      <c r="H13" s="23">
        <f>E13/E35</f>
        <v>1.7117027569741559</v>
      </c>
      <c r="I13" s="28"/>
      <c r="J13" s="29"/>
      <c r="K13" s="30"/>
      <c r="L13" s="33"/>
      <c r="M13" s="32"/>
      <c r="P13" s="3"/>
    </row>
    <row r="14" spans="1:17" ht="15" thickBot="1" x14ac:dyDescent="0.35">
      <c r="B14" s="28" t="s">
        <v>15</v>
      </c>
      <c r="C14" s="29"/>
      <c r="D14" s="30"/>
      <c r="E14" s="31">
        <v>893219</v>
      </c>
      <c r="F14" s="32"/>
      <c r="G14" s="23">
        <f>ROUND(E14/E27*100,2)</f>
        <v>0.47</v>
      </c>
      <c r="H14" s="23">
        <f>E14/E35</f>
        <v>0.21044303763172045</v>
      </c>
      <c r="I14" s="28"/>
      <c r="J14" s="29"/>
      <c r="K14" s="30"/>
      <c r="L14" s="33"/>
      <c r="M14" s="32"/>
      <c r="P14" s="3"/>
    </row>
    <row r="15" spans="1:17" ht="15" thickBot="1" x14ac:dyDescent="0.35">
      <c r="B15" s="28" t="s">
        <v>16</v>
      </c>
      <c r="C15" s="29"/>
      <c r="D15" s="30"/>
      <c r="E15" s="31">
        <v>4888875.62</v>
      </c>
      <c r="F15" s="32"/>
      <c r="G15" s="23">
        <f>ROUND(E15/E27*100,2)</f>
        <v>2.57</v>
      </c>
      <c r="H15" s="23">
        <f>E15/E35</f>
        <v>1.1518226057399816</v>
      </c>
      <c r="I15" s="28"/>
      <c r="J15" s="29"/>
      <c r="K15" s="30"/>
      <c r="L15" s="33"/>
      <c r="M15" s="32"/>
      <c r="N15" s="3"/>
      <c r="P15" s="3"/>
    </row>
    <row r="16" spans="1:17" ht="15" thickBot="1" x14ac:dyDescent="0.35">
      <c r="B16" s="28" t="s">
        <v>17</v>
      </c>
      <c r="C16" s="29"/>
      <c r="D16" s="30"/>
      <c r="E16" s="31">
        <v>1902848.36</v>
      </c>
      <c r="F16" s="32"/>
      <c r="G16" s="23">
        <f>ROUND(E16/E27*100,2)</f>
        <v>1</v>
      </c>
      <c r="H16" s="23">
        <f>E16/E35</f>
        <v>0.44831243964910911</v>
      </c>
      <c r="I16" s="28"/>
      <c r="J16" s="29"/>
      <c r="K16" s="30"/>
      <c r="L16" s="33"/>
      <c r="M16" s="32"/>
      <c r="P16" s="3"/>
    </row>
    <row r="17" spans="2:16" ht="15" thickBot="1" x14ac:dyDescent="0.35">
      <c r="B17" s="28" t="s">
        <v>18</v>
      </c>
      <c r="C17" s="29"/>
      <c r="D17" s="30"/>
      <c r="E17" s="31">
        <v>3179062.38</v>
      </c>
      <c r="F17" s="32"/>
      <c r="G17" s="23">
        <f>ROUND(E17/E27*100,2)</f>
        <v>1.67</v>
      </c>
      <c r="H17" s="23">
        <f>E17/E35</f>
        <v>0.74898937894058093</v>
      </c>
      <c r="I17" s="28"/>
      <c r="J17" s="29"/>
      <c r="K17" s="30"/>
      <c r="L17" s="33"/>
      <c r="M17" s="32"/>
    </row>
    <row r="18" spans="2:16" ht="15" thickBot="1" x14ac:dyDescent="0.35">
      <c r="B18" s="28" t="s">
        <v>19</v>
      </c>
      <c r="C18" s="29"/>
      <c r="D18" s="30"/>
      <c r="E18" s="31">
        <v>3594832.1</v>
      </c>
      <c r="F18" s="32"/>
      <c r="G18" s="23">
        <f>E18/E27*100</f>
        <v>1.8865007671886096</v>
      </c>
      <c r="H18" s="23">
        <f>E18/E35</f>
        <v>0.84694502344891531</v>
      </c>
      <c r="I18" s="28"/>
      <c r="J18" s="29"/>
      <c r="K18" s="30"/>
      <c r="L18" s="33"/>
      <c r="M18" s="32"/>
      <c r="P18" s="3"/>
    </row>
    <row r="19" spans="2:16" ht="15" thickBot="1" x14ac:dyDescent="0.35">
      <c r="B19" s="28" t="s">
        <v>20</v>
      </c>
      <c r="C19" s="29"/>
      <c r="D19" s="30"/>
      <c r="E19" s="31">
        <v>40595161.899999999</v>
      </c>
      <c r="F19" s="32"/>
      <c r="G19" s="23">
        <f>ROUND(E19/E27*100,2)</f>
        <v>21.3</v>
      </c>
      <c r="H19" s="23">
        <f>E19/E35</f>
        <v>9.5642492864431734</v>
      </c>
      <c r="I19" s="28"/>
      <c r="J19" s="29"/>
      <c r="K19" s="30"/>
      <c r="L19" s="33"/>
      <c r="M19" s="32"/>
      <c r="N19" s="34"/>
      <c r="P19" s="3"/>
    </row>
    <row r="20" spans="2:16" ht="15" thickBot="1" x14ac:dyDescent="0.35">
      <c r="B20" s="28" t="s">
        <v>21</v>
      </c>
      <c r="C20" s="29"/>
      <c r="D20" s="30"/>
      <c r="E20" s="31">
        <v>7850796.6600000001</v>
      </c>
      <c r="F20" s="32"/>
      <c r="G20" s="23">
        <f>ROUND(E20/E27*100,2)</f>
        <v>4.12</v>
      </c>
      <c r="H20" s="23">
        <f>E20/E35</f>
        <v>1.8496533290932742</v>
      </c>
      <c r="I20" s="28"/>
      <c r="J20" s="29"/>
      <c r="K20" s="30"/>
      <c r="L20" s="33"/>
      <c r="M20" s="32"/>
      <c r="P20" s="3"/>
    </row>
    <row r="21" spans="2:16" ht="15" thickBot="1" x14ac:dyDescent="0.35">
      <c r="B21" s="28" t="s">
        <v>22</v>
      </c>
      <c r="C21" s="29"/>
      <c r="D21" s="30"/>
      <c r="E21" s="31">
        <v>5692646.0899999999</v>
      </c>
      <c r="F21" s="32"/>
      <c r="G21" s="23">
        <f>ROUND(E21/E27*100,2)</f>
        <v>2.99</v>
      </c>
      <c r="H21" s="23">
        <f>E21/E35</f>
        <v>1.3411915054896237</v>
      </c>
      <c r="I21" s="28"/>
      <c r="J21" s="29"/>
      <c r="K21" s="30"/>
      <c r="L21" s="33"/>
      <c r="M21" s="32"/>
      <c r="P21" s="3"/>
    </row>
    <row r="22" spans="2:16" ht="15" thickBot="1" x14ac:dyDescent="0.35">
      <c r="B22" s="28" t="s">
        <v>23</v>
      </c>
      <c r="C22" s="29"/>
      <c r="D22" s="30"/>
      <c r="E22" s="31">
        <v>2202353.2000000002</v>
      </c>
      <c r="F22" s="32"/>
      <c r="G22" s="23">
        <f>ROUND(E22/E27*100,2)</f>
        <v>1.1599999999999999</v>
      </c>
      <c r="H22" s="23">
        <f>E22/E35</f>
        <v>0.51887599496421377</v>
      </c>
      <c r="I22" s="28"/>
      <c r="J22" s="29"/>
      <c r="K22" s="30"/>
      <c r="L22" s="33"/>
      <c r="M22" s="32"/>
    </row>
    <row r="23" spans="2:16" ht="15" thickBot="1" x14ac:dyDescent="0.35">
      <c r="B23" s="28" t="s">
        <v>24</v>
      </c>
      <c r="C23" s="29"/>
      <c r="D23" s="30"/>
      <c r="E23" s="31">
        <v>5487208.0099999998</v>
      </c>
      <c r="F23" s="32"/>
      <c r="G23" s="23">
        <f>ROUND(E23/E27*100,2)</f>
        <v>2.88</v>
      </c>
      <c r="H23" s="23">
        <f>E23/E35</f>
        <v>1.292790146359972</v>
      </c>
      <c r="I23" s="28"/>
      <c r="J23" s="29"/>
      <c r="K23" s="30"/>
      <c r="L23" s="33"/>
      <c r="M23" s="32"/>
      <c r="P23" s="3"/>
    </row>
    <row r="24" spans="2:16" ht="15" thickBot="1" x14ac:dyDescent="0.35">
      <c r="B24" s="28" t="s">
        <v>25</v>
      </c>
      <c r="C24" s="29"/>
      <c r="D24" s="30"/>
      <c r="E24" s="31">
        <v>11114967.800000001</v>
      </c>
      <c r="F24" s="32"/>
      <c r="G24" s="23">
        <f>ROUND(E24/E27*100,2)-0.01</f>
        <v>5.82</v>
      </c>
      <c r="H24" s="23">
        <f>E24/E35</f>
        <v>2.6186943929884623</v>
      </c>
      <c r="I24" s="28"/>
      <c r="J24" s="29"/>
      <c r="K24" s="30"/>
      <c r="L24" s="33"/>
      <c r="M24" s="32"/>
      <c r="P24" s="3"/>
    </row>
    <row r="25" spans="2:16" ht="15" thickBot="1" x14ac:dyDescent="0.35">
      <c r="B25" s="28" t="s">
        <v>26</v>
      </c>
      <c r="C25" s="29"/>
      <c r="D25" s="30"/>
      <c r="E25" s="31">
        <v>1682479.15</v>
      </c>
      <c r="F25" s="32"/>
      <c r="G25" s="23">
        <f>ROUND(E25/E27*100,2)</f>
        <v>0.88</v>
      </c>
      <c r="H25" s="23">
        <f>E25/E35</f>
        <v>0.39639329557256958</v>
      </c>
      <c r="I25" s="28"/>
      <c r="J25" s="29"/>
      <c r="K25" s="30"/>
      <c r="L25" s="33"/>
      <c r="M25" s="32"/>
      <c r="P25" s="3"/>
    </row>
    <row r="26" spans="2:16" ht="15" thickBot="1" x14ac:dyDescent="0.35">
      <c r="B26" s="28" t="s">
        <v>27</v>
      </c>
      <c r="C26" s="29"/>
      <c r="D26" s="30"/>
      <c r="E26" s="31">
        <v>827079</v>
      </c>
      <c r="F26" s="32"/>
      <c r="G26" s="23">
        <f>ROUND(E26/E27*100,2)</f>
        <v>0.43</v>
      </c>
      <c r="H26" s="23">
        <f>E26/E35</f>
        <v>0.19486040615056971</v>
      </c>
      <c r="I26" s="28"/>
      <c r="J26" s="29"/>
      <c r="K26" s="30"/>
      <c r="L26" s="33"/>
      <c r="M26" s="32"/>
      <c r="P26" s="3"/>
    </row>
    <row r="27" spans="2:16" ht="15" thickBot="1" x14ac:dyDescent="0.35">
      <c r="B27" s="28" t="s">
        <v>28</v>
      </c>
      <c r="C27" s="29"/>
      <c r="D27" s="30"/>
      <c r="E27" s="31">
        <f>SUM(E4:E26)</f>
        <v>190555559.92999998</v>
      </c>
      <c r="F27" s="32"/>
      <c r="G27" s="23"/>
      <c r="H27" s="23">
        <f>E27/E35</f>
        <v>44.89502671716852</v>
      </c>
      <c r="I27" s="28"/>
      <c r="J27" s="29"/>
      <c r="K27" s="30"/>
      <c r="L27" s="33"/>
      <c r="M27" s="32"/>
    </row>
    <row r="28" spans="2:16" ht="15" thickBot="1" x14ac:dyDescent="0.35">
      <c r="B28" s="28"/>
      <c r="C28" s="29"/>
      <c r="D28" s="30"/>
      <c r="E28" s="31"/>
      <c r="F28" s="32"/>
      <c r="G28" s="23"/>
      <c r="H28" s="23"/>
      <c r="I28" s="35"/>
      <c r="J28" s="36"/>
      <c r="K28" s="37"/>
      <c r="L28" s="38"/>
      <c r="M28" s="39"/>
    </row>
    <row r="29" spans="2:16" ht="15" thickBot="1" x14ac:dyDescent="0.35">
      <c r="B29" s="28" t="s">
        <v>29</v>
      </c>
      <c r="C29" s="29"/>
      <c r="D29" s="30"/>
      <c r="E29" s="40">
        <f>E35*33</f>
        <v>140067484.92000002</v>
      </c>
      <c r="F29" s="39"/>
      <c r="G29" s="23"/>
      <c r="H29" s="23">
        <f>E29/E35</f>
        <v>33</v>
      </c>
      <c r="I29" s="35"/>
      <c r="J29" s="36"/>
      <c r="K29" s="37"/>
      <c r="L29" s="40"/>
      <c r="M29" s="39"/>
    </row>
    <row r="30" spans="2:16" ht="15" thickBot="1" x14ac:dyDescent="0.35">
      <c r="B30" s="35"/>
      <c r="C30" s="36"/>
      <c r="D30" s="37"/>
      <c r="E30" s="41"/>
      <c r="F30" s="42"/>
      <c r="G30" s="23"/>
      <c r="H30" s="23"/>
      <c r="I30" s="28" t="s">
        <v>30</v>
      </c>
      <c r="J30" s="29"/>
      <c r="K30" s="30"/>
      <c r="L30" s="40">
        <v>0</v>
      </c>
      <c r="M30" s="39"/>
    </row>
    <row r="31" spans="2:16" ht="15" thickBot="1" x14ac:dyDescent="0.35">
      <c r="B31" s="35"/>
      <c r="C31" s="36"/>
      <c r="D31" s="37"/>
      <c r="E31" s="41"/>
      <c r="F31" s="42"/>
      <c r="G31" s="23"/>
      <c r="H31" s="23"/>
      <c r="I31" s="28" t="s">
        <v>31</v>
      </c>
      <c r="J31" s="29"/>
      <c r="K31" s="30"/>
      <c r="L31" s="40">
        <v>379588</v>
      </c>
      <c r="M31" s="39"/>
    </row>
    <row r="32" spans="2:16" ht="15" thickBot="1" x14ac:dyDescent="0.35">
      <c r="B32" s="35"/>
      <c r="C32" s="36"/>
      <c r="D32" s="37"/>
      <c r="E32" s="41"/>
      <c r="F32" s="42"/>
      <c r="G32" s="23"/>
      <c r="H32" s="23"/>
      <c r="I32" s="43" t="s">
        <v>32</v>
      </c>
      <c r="J32" s="44"/>
      <c r="K32" s="45"/>
      <c r="L32" s="40">
        <v>4007400</v>
      </c>
      <c r="M32" s="39"/>
    </row>
    <row r="33" spans="2:13" ht="15" thickBot="1" x14ac:dyDescent="0.35">
      <c r="B33" s="35"/>
      <c r="C33" s="36"/>
      <c r="D33" s="37"/>
      <c r="E33" s="41"/>
      <c r="F33" s="42"/>
      <c r="G33" s="23"/>
      <c r="H33" s="23"/>
      <c r="I33" s="35"/>
      <c r="J33" s="36"/>
      <c r="K33" s="37"/>
      <c r="L33" s="40"/>
      <c r="M33" s="39"/>
    </row>
    <row r="34" spans="2:13" x14ac:dyDescent="0.3">
      <c r="B34" s="28" t="s">
        <v>33</v>
      </c>
      <c r="C34" s="29"/>
      <c r="D34" s="30"/>
      <c r="E34" s="31">
        <f>E27+E29</f>
        <v>330623044.85000002</v>
      </c>
      <c r="F34" s="32"/>
      <c r="G34" s="23"/>
      <c r="H34" s="23"/>
      <c r="I34" s="28" t="s">
        <v>33</v>
      </c>
      <c r="J34" s="29"/>
      <c r="K34" s="30"/>
      <c r="L34" s="33">
        <f>E34+L30+L31+L32</f>
        <v>335010032.85000002</v>
      </c>
      <c r="M34" s="32"/>
    </row>
    <row r="35" spans="2:13" x14ac:dyDescent="0.3">
      <c r="B35" s="28" t="s">
        <v>34</v>
      </c>
      <c r="C35" s="29"/>
      <c r="D35" s="30"/>
      <c r="E35" s="31">
        <v>4244469.24</v>
      </c>
      <c r="F35" s="32"/>
      <c r="G35" s="46"/>
      <c r="H35" s="46"/>
      <c r="I35" s="28" t="s">
        <v>34</v>
      </c>
      <c r="J35" s="29"/>
      <c r="K35" s="30"/>
      <c r="L35" s="33">
        <v>4244469.24</v>
      </c>
      <c r="M35" s="32"/>
    </row>
    <row r="36" spans="2:13" x14ac:dyDescent="0.3">
      <c r="B36" s="28" t="s">
        <v>35</v>
      </c>
      <c r="C36" s="29"/>
      <c r="D36" s="30"/>
      <c r="E36" s="31">
        <f>E34/E35</f>
        <v>77.895026717168534</v>
      </c>
      <c r="F36" s="32"/>
      <c r="G36" s="46"/>
      <c r="H36" s="46"/>
      <c r="I36" s="28" t="s">
        <v>35</v>
      </c>
      <c r="J36" s="29"/>
      <c r="K36" s="30"/>
      <c r="L36" s="33">
        <f>L34/L35</f>
        <v>78.928604239337119</v>
      </c>
      <c r="M36" s="32"/>
    </row>
    <row r="37" spans="2:13" ht="15" thickBot="1" x14ac:dyDescent="0.35">
      <c r="B37" s="47" t="s">
        <v>36</v>
      </c>
      <c r="C37" s="48"/>
      <c r="D37" s="49"/>
      <c r="E37" s="31">
        <f>E36*22/100</f>
        <v>17.136905877777078</v>
      </c>
      <c r="F37" s="32"/>
      <c r="G37" s="50"/>
      <c r="H37" s="50"/>
      <c r="I37" s="47" t="s">
        <v>36</v>
      </c>
      <c r="J37" s="48"/>
      <c r="K37" s="49"/>
      <c r="L37" s="33">
        <f>L36*22/100</f>
        <v>17.364292932654166</v>
      </c>
      <c r="M37" s="32"/>
    </row>
    <row r="38" spans="2:13" ht="15" thickBot="1" x14ac:dyDescent="0.35">
      <c r="B38" s="51" t="s">
        <v>37</v>
      </c>
      <c r="C38" s="52"/>
      <c r="D38" s="53"/>
      <c r="E38" s="54">
        <f>E36+E37</f>
        <v>95.031932594945616</v>
      </c>
      <c r="F38" s="55"/>
      <c r="G38" s="56"/>
      <c r="H38" s="56"/>
      <c r="I38" s="51" t="s">
        <v>37</v>
      </c>
      <c r="J38" s="52"/>
      <c r="K38" s="53"/>
      <c r="L38" s="54">
        <f>L36+L37</f>
        <v>96.292897171991285</v>
      </c>
      <c r="M38" s="55"/>
    </row>
  </sheetData>
  <mergeCells count="146">
    <mergeCell ref="B38:D38"/>
    <mergeCell ref="E38:F38"/>
    <mergeCell ref="I38:K38"/>
    <mergeCell ref="L38:M38"/>
    <mergeCell ref="B36:D36"/>
    <mergeCell ref="E36:F36"/>
    <mergeCell ref="I36:K36"/>
    <mergeCell ref="L36:M36"/>
    <mergeCell ref="B37:D37"/>
    <mergeCell ref="E37:F37"/>
    <mergeCell ref="I37:K37"/>
    <mergeCell ref="L37:M37"/>
    <mergeCell ref="B34:D34"/>
    <mergeCell ref="E34:F34"/>
    <mergeCell ref="I34:K34"/>
    <mergeCell ref="L34:M34"/>
    <mergeCell ref="B35:D35"/>
    <mergeCell ref="E35:F35"/>
    <mergeCell ref="I35:K35"/>
    <mergeCell ref="L35:M35"/>
    <mergeCell ref="B32:D32"/>
    <mergeCell ref="E32:F32"/>
    <mergeCell ref="L32:M32"/>
    <mergeCell ref="B33:D33"/>
    <mergeCell ref="E33:F33"/>
    <mergeCell ref="I33:K33"/>
    <mergeCell ref="L33:M33"/>
    <mergeCell ref="B30:D30"/>
    <mergeCell ref="E30:F30"/>
    <mergeCell ref="I30:K30"/>
    <mergeCell ref="L30:M30"/>
    <mergeCell ref="B31:D31"/>
    <mergeCell ref="E31:F31"/>
    <mergeCell ref="I31:K31"/>
    <mergeCell ref="L31:M31"/>
    <mergeCell ref="B28:D28"/>
    <mergeCell ref="E28:F28"/>
    <mergeCell ref="I28:K28"/>
    <mergeCell ref="L28:M28"/>
    <mergeCell ref="B29:D29"/>
    <mergeCell ref="E29:F29"/>
    <mergeCell ref="I29:K29"/>
    <mergeCell ref="L29:M29"/>
    <mergeCell ref="B26:D26"/>
    <mergeCell ref="E26:F26"/>
    <mergeCell ref="I26:K26"/>
    <mergeCell ref="L26:M26"/>
    <mergeCell ref="B27:D27"/>
    <mergeCell ref="E27:F27"/>
    <mergeCell ref="I27:K27"/>
    <mergeCell ref="L27:M27"/>
    <mergeCell ref="B24:D24"/>
    <mergeCell ref="E24:F24"/>
    <mergeCell ref="I24:K24"/>
    <mergeCell ref="L24:M24"/>
    <mergeCell ref="B25:D25"/>
    <mergeCell ref="E25:F25"/>
    <mergeCell ref="I25:K25"/>
    <mergeCell ref="L25:M25"/>
    <mergeCell ref="B22:D22"/>
    <mergeCell ref="E22:F22"/>
    <mergeCell ref="I22:K22"/>
    <mergeCell ref="L22:M22"/>
    <mergeCell ref="B23:D23"/>
    <mergeCell ref="E23:F23"/>
    <mergeCell ref="I23:K23"/>
    <mergeCell ref="L23:M23"/>
    <mergeCell ref="B20:D20"/>
    <mergeCell ref="E20:F20"/>
    <mergeCell ref="I20:K20"/>
    <mergeCell ref="L20:M20"/>
    <mergeCell ref="B21:D21"/>
    <mergeCell ref="E21:F21"/>
    <mergeCell ref="I21:K21"/>
    <mergeCell ref="L21:M21"/>
    <mergeCell ref="B18:D18"/>
    <mergeCell ref="E18:F18"/>
    <mergeCell ref="I18:K18"/>
    <mergeCell ref="L18:M18"/>
    <mergeCell ref="B19:D19"/>
    <mergeCell ref="E19:F19"/>
    <mergeCell ref="I19:K19"/>
    <mergeCell ref="L19:M19"/>
    <mergeCell ref="B16:D16"/>
    <mergeCell ref="E16:F16"/>
    <mergeCell ref="I16:K16"/>
    <mergeCell ref="L16:M16"/>
    <mergeCell ref="B17:D17"/>
    <mergeCell ref="E17:F17"/>
    <mergeCell ref="I17:K17"/>
    <mergeCell ref="L17:M17"/>
    <mergeCell ref="B14:D14"/>
    <mergeCell ref="E14:F14"/>
    <mergeCell ref="I14:K14"/>
    <mergeCell ref="L14:M14"/>
    <mergeCell ref="B15:D15"/>
    <mergeCell ref="E15:F15"/>
    <mergeCell ref="I15:K15"/>
    <mergeCell ref="L15:M15"/>
    <mergeCell ref="B12:D12"/>
    <mergeCell ref="E12:F12"/>
    <mergeCell ref="I12:K12"/>
    <mergeCell ref="L12:M12"/>
    <mergeCell ref="B13:D13"/>
    <mergeCell ref="E13:F13"/>
    <mergeCell ref="I13:K13"/>
    <mergeCell ref="L13:M13"/>
    <mergeCell ref="B10:D10"/>
    <mergeCell ref="E10:F10"/>
    <mergeCell ref="I10:K10"/>
    <mergeCell ref="L10:M10"/>
    <mergeCell ref="B11:D11"/>
    <mergeCell ref="E11:F11"/>
    <mergeCell ref="I11:K11"/>
    <mergeCell ref="L11:M11"/>
    <mergeCell ref="B8:D8"/>
    <mergeCell ref="E8:F8"/>
    <mergeCell ref="I8:K8"/>
    <mergeCell ref="L8:M8"/>
    <mergeCell ref="B9:D9"/>
    <mergeCell ref="E9:F9"/>
    <mergeCell ref="I9:K9"/>
    <mergeCell ref="L9:M9"/>
    <mergeCell ref="B6:D6"/>
    <mergeCell ref="E6:F6"/>
    <mergeCell ref="I6:K6"/>
    <mergeCell ref="L6:M6"/>
    <mergeCell ref="B7:D7"/>
    <mergeCell ref="E7:F7"/>
    <mergeCell ref="I7:K7"/>
    <mergeCell ref="L7:M7"/>
    <mergeCell ref="B4:D4"/>
    <mergeCell ref="E4:F4"/>
    <mergeCell ref="I4:K4"/>
    <mergeCell ref="L4:M4"/>
    <mergeCell ref="B5:D5"/>
    <mergeCell ref="E5:F5"/>
    <mergeCell ref="I5:K5"/>
    <mergeCell ref="L5:M5"/>
    <mergeCell ref="A1:M1"/>
    <mergeCell ref="B2:D3"/>
    <mergeCell ref="E2:F3"/>
    <mergeCell ref="G2:G3"/>
    <mergeCell ref="H2:H3"/>
    <mergeCell ref="I2:K3"/>
    <mergeCell ref="L2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Алиса Нистратова</dc:creator>
  <cp:lastModifiedBy>nistratova_a</cp:lastModifiedBy>
  <dcterms:created xsi:type="dcterms:W3CDTF">2015-06-05T18:19:34Z</dcterms:created>
  <dcterms:modified xsi:type="dcterms:W3CDTF">2026-08-18T09:14:56Z</dcterms:modified>
</cp:coreProperties>
</file>